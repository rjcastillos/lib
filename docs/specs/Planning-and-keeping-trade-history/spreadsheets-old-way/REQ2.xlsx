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astillo\Downloads\"/>
    </mc:Choice>
  </mc:AlternateContent>
  <xr:revisionPtr revIDLastSave="0" documentId="13_ncr:9_{36D97BB4-AB40-4747-91DC-7505EE7EE875}" xr6:coauthVersionLast="47" xr6:coauthVersionMax="47" xr10:uidLastSave="{00000000-0000-0000-0000-000000000000}"/>
  <bookViews>
    <workbookView xWindow="-120" yWindow="-16320" windowWidth="29040" windowHeight="15720" xr2:uid="{001A2C5A-3C66-4185-9319-B6DD3A39455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5" i="1" l="1"/>
  <c r="O5" i="1"/>
  <c r="L5" i="1"/>
  <c r="M5" i="1" s="1"/>
  <c r="K5" i="1"/>
  <c r="H5" i="1"/>
  <c r="N5" i="1" s="1"/>
  <c r="Q4" i="1"/>
  <c r="O4" i="1"/>
  <c r="L4" i="1"/>
  <c r="M4" i="1" s="1"/>
  <c r="K4" i="1"/>
  <c r="H4" i="1"/>
  <c r="N4" i="1" s="1"/>
  <c r="Q3" i="1"/>
  <c r="O3" i="1"/>
  <c r="L3" i="1"/>
  <c r="M3" i="1" s="1"/>
  <c r="K3" i="1"/>
  <c r="H3" i="1"/>
  <c r="N3" i="1" s="1"/>
  <c r="Q2" i="1"/>
  <c r="O2" i="1"/>
  <c r="L2" i="1"/>
  <c r="M2" i="1" s="1"/>
  <c r="K2" i="1"/>
  <c r="H2" i="1"/>
  <c r="N2" i="1" s="1"/>
  <c r="J2" i="1" l="1"/>
  <c r="J3" i="1"/>
  <c r="J4" i="1"/>
  <c r="J5" i="1"/>
</calcChain>
</file>

<file path=xl/sharedStrings.xml><?xml version="1.0" encoding="utf-8"?>
<sst xmlns="http://schemas.openxmlformats.org/spreadsheetml/2006/main" count="24" uniqueCount="22">
  <si>
    <t>TI</t>
  </si>
  <si>
    <t xml:space="preserve">Asset </t>
  </si>
  <si>
    <t>Q</t>
  </si>
  <si>
    <t>EP</t>
  </si>
  <si>
    <t>Bid fee</t>
  </si>
  <si>
    <t>Stop</t>
  </si>
  <si>
    <t>PT</t>
  </si>
  <si>
    <t>Inv</t>
  </si>
  <si>
    <t>Ask fee</t>
  </si>
  <si>
    <t>AVG</t>
  </si>
  <si>
    <t xml:space="preserve">P&amp;L L </t>
  </si>
  <si>
    <t>P&amp;L P</t>
  </si>
  <si>
    <t>R:R P</t>
  </si>
  <si>
    <t>L</t>
  </si>
  <si>
    <t>P</t>
  </si>
  <si>
    <t>Comments</t>
  </si>
  <si>
    <t>DT</t>
  </si>
  <si>
    <t>ACRE</t>
  </si>
  <si>
    <t>LF</t>
  </si>
  <si>
    <t>GS 2027 7.4%</t>
  </si>
  <si>
    <t>GLAD</t>
  </si>
  <si>
    <t>YOC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</si>
</sst>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[$$-409]#,##0.00"/>
    <numFmt numFmtId="166" formatCode="&quot;$&quot;#,##0.00;[Red]&quot;$&quot;#,##0.00"/>
    <numFmt numFmtId="167" formatCode="[$$-409]#,##0.00;[Red][$$-409]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3E7D2"/>
        <bgColor indexed="64"/>
      </patternFill>
    </fill>
    <fill>
      <patternFill patternType="solid">
        <fgColor rgb="FFF2D3DD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7" borderId="1" xfId="0" applyFont="1" applyFill="1" applyBorder="1"/>
    <xf numFmtId="0" fontId="1" fillId="5" borderId="1" xfId="0" quotePrefix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164" fontId="0" fillId="10" borderId="1" xfId="0" applyNumberFormat="1" applyFill="1" applyBorder="1" applyProtection="1">
      <protection locked="0"/>
    </xf>
    <xf numFmtId="164" fontId="1" fillId="0" borderId="1" xfId="0" applyNumberFormat="1" applyFont="1" applyBorder="1"/>
    <xf numFmtId="164" fontId="0" fillId="11" borderId="1" xfId="0" applyNumberFormat="1" applyFill="1" applyBorder="1" applyProtection="1">
      <protection locked="0"/>
    </xf>
    <xf numFmtId="165" fontId="0" fillId="12" borderId="1" xfId="0" applyNumberFormat="1" applyFill="1" applyBorder="1" applyProtection="1">
      <protection locked="0"/>
    </xf>
    <xf numFmtId="166" fontId="1" fillId="0" borderId="1" xfId="0" applyNumberFormat="1" applyFont="1" applyBorder="1"/>
    <xf numFmtId="167" fontId="3" fillId="0" borderId="1" xfId="0" applyNumberFormat="1" applyFont="1" applyBorder="1"/>
    <xf numFmtId="0" fontId="1" fillId="0" borderId="1" xfId="0" applyFon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preadsheets\Dividend_CalandTrack.xlsx" TargetMode="External"/><Relationship Id="rId1" Type="http://schemas.openxmlformats.org/officeDocument/2006/relationships/externalLinkPath" Target="file:///D:\spreadsheets\Dividend_CalandTra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_Cal"/>
      <sheetName val="Groups"/>
      <sheetName val="G0"/>
      <sheetName val="G1"/>
      <sheetName val="G2"/>
      <sheetName val="G3"/>
      <sheetName val="G6"/>
      <sheetName val="G12"/>
      <sheetName val="GN1"/>
      <sheetName val="list"/>
      <sheetName val="assets https   www.portfoliovis"/>
    </sheetNames>
    <sheetDataSet>
      <sheetData sheetId="0">
        <row r="9">
          <cell r="K9" t="str">
            <v>ABBV</v>
          </cell>
          <cell r="L9">
            <v>0</v>
          </cell>
          <cell r="M9">
            <v>0</v>
          </cell>
          <cell r="N9">
            <v>1.73</v>
          </cell>
          <cell r="O9" t="str">
            <v>Q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e">
            <v>#DIV/0!</v>
          </cell>
        </row>
        <row r="10">
          <cell r="K10" t="str">
            <v>ACP</v>
          </cell>
          <cell r="L10">
            <v>0</v>
          </cell>
          <cell r="M10">
            <v>0</v>
          </cell>
          <cell r="N10">
            <v>1.73</v>
          </cell>
          <cell r="O10" t="str">
            <v>Q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e">
            <v>#DIV/0!</v>
          </cell>
        </row>
        <row r="11">
          <cell r="K11" t="str">
            <v>ACRE</v>
          </cell>
          <cell r="L11">
            <v>110</v>
          </cell>
          <cell r="M11">
            <v>4.43</v>
          </cell>
          <cell r="N11">
            <v>0.15</v>
          </cell>
          <cell r="O11" t="str">
            <v>Q</v>
          </cell>
          <cell r="P11">
            <v>16.5</v>
          </cell>
          <cell r="Q11">
            <v>66</v>
          </cell>
          <cell r="R11">
            <v>487.29999999999995</v>
          </cell>
          <cell r="S11">
            <v>5.5</v>
          </cell>
          <cell r="T11">
            <v>0.13544018058690746</v>
          </cell>
        </row>
        <row r="12">
          <cell r="K12" t="str">
            <v>BEP</v>
          </cell>
          <cell r="L12">
            <v>0</v>
          </cell>
          <cell r="M12">
            <v>0</v>
          </cell>
          <cell r="N12">
            <v>0.33700000000000002</v>
          </cell>
          <cell r="O12" t="str">
            <v>Q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e">
            <v>#DIV/0!</v>
          </cell>
        </row>
        <row r="13">
          <cell r="K13" t="str">
            <v>EMB</v>
          </cell>
          <cell r="L13">
            <v>0</v>
          </cell>
          <cell r="M13">
            <v>0</v>
          </cell>
          <cell r="N13">
            <v>0.37059999999999998</v>
          </cell>
          <cell r="O13" t="str">
            <v>M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e">
            <v>#DIV/0!</v>
          </cell>
        </row>
        <row r="14">
          <cell r="K14" t="str">
            <v>ET</v>
          </cell>
          <cell r="L14">
            <v>0</v>
          </cell>
          <cell r="M14">
            <v>0</v>
          </cell>
          <cell r="N14">
            <v>0.33</v>
          </cell>
          <cell r="O14" t="str">
            <v>Q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e">
            <v>#DIV/0!</v>
          </cell>
        </row>
        <row r="15">
          <cell r="K15" t="str">
            <v>F</v>
          </cell>
          <cell r="L15">
            <v>0</v>
          </cell>
          <cell r="M15">
            <v>0</v>
          </cell>
          <cell r="N15">
            <v>0.15</v>
          </cell>
          <cell r="O15" t="str">
            <v>Q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e">
            <v>#DIV/0!</v>
          </cell>
        </row>
        <row r="16">
          <cell r="K16" t="str">
            <v>FSK</v>
          </cell>
          <cell r="L16">
            <v>0</v>
          </cell>
          <cell r="M16">
            <v>0</v>
          </cell>
          <cell r="N16">
            <v>0.7</v>
          </cell>
          <cell r="O16" t="str">
            <v>Q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e">
            <v>#DIV/0!</v>
          </cell>
        </row>
        <row r="17">
          <cell r="K17" t="str">
            <v>GLAD</v>
          </cell>
          <cell r="L17">
            <v>200</v>
          </cell>
          <cell r="M17">
            <v>20.21</v>
          </cell>
          <cell r="N17">
            <v>0.15</v>
          </cell>
          <cell r="O17" t="str">
            <v>M</v>
          </cell>
          <cell r="P17">
            <v>30</v>
          </cell>
          <cell r="Q17">
            <v>360</v>
          </cell>
          <cell r="R17">
            <v>4042</v>
          </cell>
          <cell r="S17">
            <v>30</v>
          </cell>
          <cell r="T17">
            <v>8.9064819396338452E-2</v>
          </cell>
        </row>
        <row r="18">
          <cell r="K18" t="str">
            <v>GS 2027 7.4%</v>
          </cell>
          <cell r="L18">
            <v>20</v>
          </cell>
          <cell r="M18">
            <v>101.85</v>
          </cell>
          <cell r="N18">
            <v>0.2</v>
          </cell>
          <cell r="O18" t="str">
            <v>Q</v>
          </cell>
          <cell r="P18">
            <v>4</v>
          </cell>
          <cell r="Q18">
            <v>16</v>
          </cell>
          <cell r="R18">
            <v>2037</v>
          </cell>
          <cell r="S18">
            <v>1.3333333333333333</v>
          </cell>
          <cell r="T18">
            <v>7.8546882670594009E-3</v>
          </cell>
        </row>
        <row r="19">
          <cell r="K19" t="str">
            <v>IWM</v>
          </cell>
          <cell r="L19">
            <v>0</v>
          </cell>
          <cell r="M19">
            <v>0</v>
          </cell>
          <cell r="N19">
            <v>0.73299999999999998</v>
          </cell>
          <cell r="O19" t="str">
            <v>Q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e">
            <v>#DIV/0!</v>
          </cell>
        </row>
        <row r="20">
          <cell r="K20" t="str">
            <v>IYY</v>
          </cell>
          <cell r="L20">
            <v>0</v>
          </cell>
          <cell r="M20">
            <v>0</v>
          </cell>
          <cell r="N20">
            <v>0.27</v>
          </cell>
          <cell r="O20" t="str">
            <v>Q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e">
            <v>#DIV/0!</v>
          </cell>
        </row>
        <row r="21">
          <cell r="K21" t="str">
            <v>KHC</v>
          </cell>
          <cell r="L21">
            <v>0</v>
          </cell>
          <cell r="M21">
            <v>0</v>
          </cell>
          <cell r="N21">
            <v>0.4</v>
          </cell>
          <cell r="O21" t="str">
            <v>Q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e">
            <v>#DIV/0!</v>
          </cell>
        </row>
        <row r="22">
          <cell r="K22" t="str">
            <v>MAIN</v>
          </cell>
          <cell r="L22">
            <v>0</v>
          </cell>
          <cell r="M22">
            <v>0</v>
          </cell>
          <cell r="N22">
            <v>0.3</v>
          </cell>
          <cell r="O22" t="str">
            <v>M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e">
            <v>#DIV/0!</v>
          </cell>
        </row>
        <row r="23">
          <cell r="K23" t="str">
            <v>MO</v>
          </cell>
          <cell r="L23">
            <v>0</v>
          </cell>
          <cell r="M23">
            <v>0</v>
          </cell>
          <cell r="N23">
            <v>0.122</v>
          </cell>
          <cell r="O23" t="str">
            <v>Q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e">
            <v>#DIV/0!</v>
          </cell>
        </row>
        <row r="24">
          <cell r="K24" t="str">
            <v>MPW</v>
          </cell>
          <cell r="L24">
            <v>0</v>
          </cell>
          <cell r="M24">
            <v>0</v>
          </cell>
          <cell r="N24">
            <v>0.122</v>
          </cell>
          <cell r="O24" t="str">
            <v>Q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e">
            <v>#DIV/0!</v>
          </cell>
        </row>
        <row r="25">
          <cell r="K25" t="str">
            <v>MSFT</v>
          </cell>
          <cell r="L25">
            <v>7</v>
          </cell>
          <cell r="M25">
            <v>396.47</v>
          </cell>
          <cell r="N25">
            <v>0.91</v>
          </cell>
          <cell r="O25" t="str">
            <v>Q</v>
          </cell>
          <cell r="P25">
            <v>6.37</v>
          </cell>
          <cell r="Q25">
            <v>25.48</v>
          </cell>
          <cell r="R25">
            <v>2775.29</v>
          </cell>
          <cell r="S25">
            <v>2.1233333333333335</v>
          </cell>
          <cell r="T25">
            <v>9.1810225237722899E-3</v>
          </cell>
        </row>
        <row r="26">
          <cell r="K26" t="str">
            <v>NEE</v>
          </cell>
          <cell r="L26">
            <v>0</v>
          </cell>
          <cell r="M26">
            <v>0</v>
          </cell>
          <cell r="N26">
            <v>0.46800000000000003</v>
          </cell>
          <cell r="O26" t="str">
            <v>Q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e">
            <v>#DIV/0!</v>
          </cell>
        </row>
        <row r="27">
          <cell r="K27" t="str">
            <v>PCF</v>
          </cell>
          <cell r="L27">
            <v>0</v>
          </cell>
          <cell r="M27">
            <v>0</v>
          </cell>
          <cell r="N27">
            <v>6.0400000000000002E-2</v>
          </cell>
          <cell r="O27" t="str">
            <v>B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e">
            <v>#DIV/0!</v>
          </cell>
        </row>
        <row r="28">
          <cell r="K28" t="str">
            <v>PFE</v>
          </cell>
          <cell r="L28">
            <v>30</v>
          </cell>
          <cell r="M28">
            <v>24.01</v>
          </cell>
          <cell r="N28">
            <v>0.43</v>
          </cell>
          <cell r="O28" t="str">
            <v>Q</v>
          </cell>
          <cell r="P28">
            <v>12.9</v>
          </cell>
          <cell r="Q28">
            <v>51.6</v>
          </cell>
          <cell r="R28">
            <v>720.30000000000007</v>
          </cell>
          <cell r="S28">
            <v>4.3</v>
          </cell>
          <cell r="T28">
            <v>7.1636817992503113E-2</v>
          </cell>
        </row>
        <row r="29">
          <cell r="K29"/>
          <cell r="L29">
            <v>0</v>
          </cell>
          <cell r="M29">
            <v>0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>
            <v>0</v>
          </cell>
          <cell r="S29" t="e">
            <v>#N/A</v>
          </cell>
          <cell r="T29" t="e">
            <v>#N/A</v>
          </cell>
        </row>
        <row r="30">
          <cell r="K30" t="str">
            <v>PG</v>
          </cell>
          <cell r="L30">
            <v>0</v>
          </cell>
          <cell r="M30">
            <v>0</v>
          </cell>
          <cell r="N30">
            <v>1</v>
          </cell>
          <cell r="O30" t="str">
            <v>Q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e">
            <v>#DIV/0!</v>
          </cell>
        </row>
        <row r="31">
          <cell r="K31" t="str">
            <v>QYLD</v>
          </cell>
          <cell r="L31">
            <v>210</v>
          </cell>
          <cell r="M31">
            <v>19.850000000000001</v>
          </cell>
          <cell r="N31">
            <v>0.17849999999999999</v>
          </cell>
          <cell r="O31" t="str">
            <v>Q</v>
          </cell>
          <cell r="P31">
            <v>37.484999999999999</v>
          </cell>
          <cell r="Q31">
            <v>149.94</v>
          </cell>
          <cell r="R31">
            <v>4168.5</v>
          </cell>
          <cell r="S31">
            <v>12.494999999999999</v>
          </cell>
          <cell r="T31">
            <v>3.5969773299748112E-2</v>
          </cell>
        </row>
        <row r="32">
          <cell r="K32" t="str">
            <v>TLT</v>
          </cell>
          <cell r="L32">
            <v>0</v>
          </cell>
          <cell r="M32">
            <v>0</v>
          </cell>
          <cell r="N32">
            <v>0.32807999999999998</v>
          </cell>
          <cell r="O32" t="str">
            <v>M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e">
            <v>#DIV/0!</v>
          </cell>
        </row>
        <row r="33">
          <cell r="K33" t="str">
            <v>USGOVT 2057 4.125</v>
          </cell>
          <cell r="L33">
            <v>20</v>
          </cell>
          <cell r="M33">
            <v>98.3</v>
          </cell>
          <cell r="N33">
            <v>0.23</v>
          </cell>
          <cell r="O33" t="str">
            <v>B</v>
          </cell>
          <cell r="P33">
            <v>4.6000000000000005</v>
          </cell>
          <cell r="Q33">
            <v>0</v>
          </cell>
          <cell r="R33">
            <v>1966</v>
          </cell>
          <cell r="S33">
            <v>0</v>
          </cell>
          <cell r="T33">
            <v>0</v>
          </cell>
        </row>
        <row r="34">
          <cell r="K34" t="str">
            <v>VTRS</v>
          </cell>
          <cell r="L34">
            <v>0.86</v>
          </cell>
          <cell r="M34">
            <v>14</v>
          </cell>
          <cell r="N34">
            <v>0.23</v>
          </cell>
          <cell r="O34" t="str">
            <v>B</v>
          </cell>
          <cell r="P34">
            <v>0.1978</v>
          </cell>
          <cell r="Q34">
            <v>0</v>
          </cell>
          <cell r="R34">
            <v>12.04</v>
          </cell>
          <cell r="S34">
            <v>0</v>
          </cell>
          <cell r="T34">
            <v>0</v>
          </cell>
        </row>
        <row r="35">
          <cell r="K35" t="str">
            <v>VZ</v>
          </cell>
          <cell r="L35">
            <v>0</v>
          </cell>
          <cell r="M35">
            <v>0</v>
          </cell>
          <cell r="N35">
            <v>0.23</v>
          </cell>
          <cell r="O35" t="str">
            <v>Q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e">
            <v>#DIV/0!</v>
          </cell>
        </row>
        <row r="36">
          <cell r="K36" t="str">
            <v>XLE</v>
          </cell>
          <cell r="L36">
            <v>0</v>
          </cell>
          <cell r="M36">
            <v>0</v>
          </cell>
          <cell r="N36">
            <v>0.23</v>
          </cell>
          <cell r="O36" t="str">
            <v>Q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e">
            <v>#DIV/0!</v>
          </cell>
        </row>
        <row r="37">
          <cell r="K37" t="str">
            <v>XLU</v>
          </cell>
          <cell r="L37">
            <v>0</v>
          </cell>
          <cell r="M37">
            <v>0</v>
          </cell>
          <cell r="N37">
            <v>0.23</v>
          </cell>
          <cell r="O37" t="str">
            <v>Q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e">
            <v>#DIV/0!</v>
          </cell>
        </row>
        <row r="38">
          <cell r="K38" t="str">
            <v>OXY</v>
          </cell>
          <cell r="L38">
            <v>0</v>
          </cell>
          <cell r="M38">
            <v>0</v>
          </cell>
          <cell r="N38">
            <v>0.24</v>
          </cell>
          <cell r="O38" t="str">
            <v>Q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e">
            <v>#DIV/0!</v>
          </cell>
        </row>
        <row r="39">
          <cell r="K39"/>
          <cell r="L39">
            <v>0</v>
          </cell>
          <cell r="M39">
            <v>0</v>
          </cell>
          <cell r="N39" t="e">
            <v>#N/A</v>
          </cell>
          <cell r="O39" t="e">
            <v>#N/A</v>
          </cell>
          <cell r="P39" t="e">
            <v>#N/A</v>
          </cell>
          <cell r="Q39" t="e">
            <v>#N/A</v>
          </cell>
          <cell r="R39">
            <v>0</v>
          </cell>
          <cell r="S39" t="e">
            <v>#N/A</v>
          </cell>
          <cell r="T39" t="e">
            <v>#N/A</v>
          </cell>
        </row>
        <row r="40">
          <cell r="K40"/>
          <cell r="L40">
            <v>0</v>
          </cell>
          <cell r="M40">
            <v>0</v>
          </cell>
          <cell r="N40" t="e">
            <v>#N/A</v>
          </cell>
          <cell r="O40" t="e">
            <v>#N/A</v>
          </cell>
          <cell r="P40" t="e">
            <v>#N/A</v>
          </cell>
          <cell r="Q40" t="e">
            <v>#N/A</v>
          </cell>
          <cell r="R40">
            <v>0</v>
          </cell>
          <cell r="S40" t="e">
            <v>#N/A</v>
          </cell>
          <cell r="T40" t="e">
            <v>#N/A</v>
          </cell>
        </row>
        <row r="41">
          <cell r="K41"/>
          <cell r="L41">
            <v>0</v>
          </cell>
          <cell r="M41">
            <v>0</v>
          </cell>
          <cell r="N41" t="e">
            <v>#N/A</v>
          </cell>
          <cell r="O41" t="e">
            <v>#N/A</v>
          </cell>
          <cell r="P41" t="e">
            <v>#N/A</v>
          </cell>
          <cell r="Q41" t="e">
            <v>#N/A</v>
          </cell>
          <cell r="R41">
            <v>0</v>
          </cell>
          <cell r="S41" t="e">
            <v>#N/A</v>
          </cell>
          <cell r="T41" t="e">
            <v>#N/A</v>
          </cell>
        </row>
        <row r="42">
          <cell r="K42"/>
          <cell r="L42">
            <v>0</v>
          </cell>
          <cell r="M42">
            <v>0</v>
          </cell>
          <cell r="N42" t="e">
            <v>#N/A</v>
          </cell>
          <cell r="O42" t="e">
            <v>#N/A</v>
          </cell>
          <cell r="P42" t="e">
            <v>#N/A</v>
          </cell>
          <cell r="Q42" t="e">
            <v>#N/A</v>
          </cell>
          <cell r="R42">
            <v>0</v>
          </cell>
          <cell r="S42" t="e">
            <v>#N/A</v>
          </cell>
          <cell r="T42" t="e">
            <v>#N/A</v>
          </cell>
        </row>
        <row r="43">
          <cell r="K43"/>
          <cell r="L43">
            <v>0</v>
          </cell>
          <cell r="M43">
            <v>0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>
            <v>0</v>
          </cell>
          <cell r="S43" t="e">
            <v>#N/A</v>
          </cell>
          <cell r="T43" t="e">
            <v>#N/A</v>
          </cell>
        </row>
        <row r="44">
          <cell r="K44"/>
          <cell r="L44">
            <v>0</v>
          </cell>
          <cell r="M44">
            <v>0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>
            <v>0</v>
          </cell>
          <cell r="S44" t="e">
            <v>#N/A</v>
          </cell>
          <cell r="T44" t="e">
            <v>#N/A</v>
          </cell>
        </row>
        <row r="45">
          <cell r="K45"/>
          <cell r="L45">
            <v>0</v>
          </cell>
          <cell r="M45">
            <v>0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>
            <v>0</v>
          </cell>
          <cell r="S45" t="e">
            <v>#N/A</v>
          </cell>
          <cell r="T45" t="e">
            <v>#N/A</v>
          </cell>
        </row>
        <row r="46">
          <cell r="K46"/>
          <cell r="L46">
            <v>0</v>
          </cell>
          <cell r="M46">
            <v>0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>
            <v>0</v>
          </cell>
          <cell r="S46" t="e">
            <v>#N/A</v>
          </cell>
          <cell r="T46" t="e">
            <v>#N/A</v>
          </cell>
        </row>
        <row r="47">
          <cell r="K47"/>
          <cell r="L47">
            <v>0</v>
          </cell>
          <cell r="M47">
            <v>0</v>
          </cell>
          <cell r="N47" t="e">
            <v>#N/A</v>
          </cell>
          <cell r="O47" t="e">
            <v>#N/A</v>
          </cell>
          <cell r="P47"/>
          <cell r="Q47"/>
          <cell r="R47"/>
          <cell r="S47"/>
          <cell r="T47"/>
        </row>
        <row r="48">
          <cell r="K48"/>
          <cell r="L48">
            <v>0</v>
          </cell>
          <cell r="M48">
            <v>0</v>
          </cell>
          <cell r="N48" t="e">
            <v>#N/A</v>
          </cell>
          <cell r="O48" t="e">
            <v>#N/A</v>
          </cell>
          <cell r="P48"/>
          <cell r="Q48"/>
          <cell r="R48"/>
          <cell r="S48"/>
          <cell r="T48"/>
        </row>
        <row r="49">
          <cell r="K49"/>
          <cell r="L49"/>
          <cell r="M49"/>
          <cell r="N49" t="e">
            <v>#N/A</v>
          </cell>
          <cell r="O49" t="e">
            <v>#N/A</v>
          </cell>
          <cell r="P49"/>
          <cell r="Q49"/>
          <cell r="R49"/>
          <cell r="S49"/>
          <cell r="T49"/>
        </row>
        <row r="50">
          <cell r="K50"/>
          <cell r="L50"/>
          <cell r="M50"/>
          <cell r="N50" t="e">
            <v>#N/A</v>
          </cell>
          <cell r="O50" t="e">
            <v>#N/A</v>
          </cell>
          <cell r="P50"/>
          <cell r="Q50"/>
          <cell r="R50"/>
          <cell r="S50"/>
          <cell r="T50"/>
        </row>
        <row r="51">
          <cell r="K51"/>
          <cell r="L51"/>
          <cell r="M51"/>
          <cell r="N51" t="e">
            <v>#N/A</v>
          </cell>
          <cell r="O51" t="e">
            <v>#N/A</v>
          </cell>
          <cell r="P51"/>
          <cell r="Q51"/>
          <cell r="R51"/>
          <cell r="S51"/>
          <cell r="T51"/>
        </row>
        <row r="52">
          <cell r="K52"/>
          <cell r="L52"/>
          <cell r="M52"/>
          <cell r="N52" t="e">
            <v>#N/A</v>
          </cell>
          <cell r="O52" t="e">
            <v>#N/A</v>
          </cell>
          <cell r="P52"/>
          <cell r="Q52"/>
          <cell r="R52"/>
          <cell r="S52"/>
          <cell r="T52"/>
        </row>
        <row r="53">
          <cell r="K53"/>
          <cell r="L53"/>
          <cell r="M53"/>
          <cell r="N53" t="e">
            <v>#N/A</v>
          </cell>
          <cell r="O53" t="e">
            <v>#N/A</v>
          </cell>
          <cell r="P53"/>
          <cell r="Q53"/>
          <cell r="R53"/>
          <cell r="S53"/>
          <cell r="T53"/>
        </row>
        <row r="54">
          <cell r="K54"/>
          <cell r="L54"/>
          <cell r="M54"/>
          <cell r="N54" t="e">
            <v>#N/A</v>
          </cell>
          <cell r="O54" t="e">
            <v>#N/A</v>
          </cell>
          <cell r="P54"/>
          <cell r="Q54"/>
          <cell r="R54"/>
          <cell r="S54"/>
          <cell r="T54"/>
        </row>
        <row r="55">
          <cell r="K55"/>
          <cell r="L55"/>
          <cell r="M55"/>
          <cell r="N55" t="e">
            <v>#N/A</v>
          </cell>
          <cell r="O55" t="e">
            <v>#N/A</v>
          </cell>
          <cell r="P55"/>
          <cell r="Q55"/>
          <cell r="R55"/>
          <cell r="S55"/>
          <cell r="T55"/>
        </row>
        <row r="56">
          <cell r="K56"/>
          <cell r="L56"/>
          <cell r="M56"/>
          <cell r="N56" t="e">
            <v>#N/A</v>
          </cell>
          <cell r="O56" t="e">
            <v>#N/A</v>
          </cell>
          <cell r="P56"/>
          <cell r="Q56"/>
          <cell r="R56"/>
          <cell r="S56"/>
          <cell r="T56"/>
        </row>
        <row r="57">
          <cell r="K57"/>
          <cell r="L57"/>
          <cell r="M57"/>
          <cell r="N57" t="e">
            <v>#N/A</v>
          </cell>
          <cell r="O57" t="e">
            <v>#N/A</v>
          </cell>
          <cell r="P57"/>
          <cell r="Q57"/>
          <cell r="R57"/>
          <cell r="S57"/>
          <cell r="T57"/>
        </row>
        <row r="58">
          <cell r="K58"/>
          <cell r="L58"/>
          <cell r="M58"/>
          <cell r="N58" t="e">
            <v>#N/A</v>
          </cell>
          <cell r="O58" t="e">
            <v>#N/A</v>
          </cell>
          <cell r="P58"/>
          <cell r="Q58"/>
          <cell r="R58"/>
          <cell r="S58"/>
          <cell r="T58"/>
        </row>
        <row r="59">
          <cell r="K59"/>
          <cell r="L59"/>
          <cell r="M59"/>
          <cell r="N59" t="e">
            <v>#N/A</v>
          </cell>
          <cell r="O59"/>
          <cell r="P59"/>
          <cell r="Q59"/>
          <cell r="R59"/>
          <cell r="S59"/>
          <cell r="T59"/>
        </row>
        <row r="60">
          <cell r="K60"/>
          <cell r="L60"/>
          <cell r="M60"/>
          <cell r="N60" t="e">
            <v>#N/A</v>
          </cell>
          <cell r="O60"/>
          <cell r="P60"/>
          <cell r="Q60"/>
          <cell r="R60"/>
          <cell r="S60"/>
          <cell r="T60"/>
        </row>
        <row r="61">
          <cell r="K61"/>
          <cell r="L61"/>
          <cell r="M61"/>
          <cell r="N61" t="e">
            <v>#N/A</v>
          </cell>
          <cell r="O61"/>
          <cell r="P61"/>
          <cell r="Q61"/>
          <cell r="R61"/>
          <cell r="S61"/>
          <cell r="T61"/>
        </row>
        <row r="62">
          <cell r="K62"/>
          <cell r="L62"/>
          <cell r="M62"/>
          <cell r="N62" t="e">
            <v>#N/A</v>
          </cell>
          <cell r="O62"/>
          <cell r="P62"/>
          <cell r="Q62"/>
          <cell r="R62"/>
          <cell r="S62"/>
          <cell r="T62"/>
        </row>
        <row r="63">
          <cell r="K63"/>
          <cell r="L63"/>
          <cell r="M63"/>
          <cell r="N63" t="e">
            <v>#N/A</v>
          </cell>
          <cell r="O63"/>
          <cell r="P63"/>
          <cell r="Q63"/>
          <cell r="R63"/>
          <cell r="S63"/>
          <cell r="T63"/>
        </row>
        <row r="64">
          <cell r="K64"/>
          <cell r="L64"/>
          <cell r="M64"/>
          <cell r="N64" t="e">
            <v>#N/A</v>
          </cell>
          <cell r="O64"/>
          <cell r="P64"/>
          <cell r="Q64"/>
          <cell r="R64"/>
          <cell r="S64"/>
          <cell r="T64"/>
        </row>
        <row r="65">
          <cell r="K65"/>
          <cell r="L65"/>
          <cell r="M65"/>
          <cell r="N65" t="e">
            <v>#N/A</v>
          </cell>
          <cell r="O65"/>
          <cell r="P65"/>
          <cell r="Q65"/>
          <cell r="R65"/>
          <cell r="S65"/>
          <cell r="T65"/>
        </row>
        <row r="66">
          <cell r="K66"/>
          <cell r="L66"/>
          <cell r="M66"/>
          <cell r="N66" t="e">
            <v>#N/A</v>
          </cell>
          <cell r="O66"/>
          <cell r="P66"/>
          <cell r="Q66"/>
          <cell r="R66"/>
          <cell r="S66"/>
          <cell r="T66"/>
        </row>
        <row r="67">
          <cell r="K67"/>
          <cell r="L67"/>
          <cell r="M67"/>
          <cell r="N67" t="e">
            <v>#N/A</v>
          </cell>
          <cell r="O67"/>
          <cell r="P67"/>
          <cell r="Q67"/>
          <cell r="R67"/>
          <cell r="S67"/>
          <cell r="T67"/>
        </row>
        <row r="68">
          <cell r="K68"/>
          <cell r="L68"/>
          <cell r="M68"/>
          <cell r="N68" t="e">
            <v>#N/A</v>
          </cell>
          <cell r="O68"/>
          <cell r="P68"/>
          <cell r="Q68"/>
          <cell r="R68"/>
          <cell r="S68"/>
          <cell r="T68"/>
        </row>
        <row r="69">
          <cell r="K69"/>
          <cell r="L69"/>
          <cell r="M69"/>
          <cell r="N69" t="e">
            <v>#N/A</v>
          </cell>
          <cell r="O69"/>
          <cell r="P69"/>
          <cell r="Q69"/>
          <cell r="R69"/>
          <cell r="S69"/>
          <cell r="T69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0FF3-0028-442F-8C3B-3EE3BAC4AEE8}">
  <dimension ref="A1:Q5"/>
  <sheetViews>
    <sheetView tabSelected="1" workbookViewId="0">
      <selection activeCell="S3" sqref="S3"/>
    </sheetView>
  </sheetViews>
  <sheetFormatPr defaultRowHeight="14.4" x14ac:dyDescent="0.3"/>
  <sheetData>
    <row r="1" spans="1:17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9" t="s">
        <v>14</v>
      </c>
      <c r="P1" s="10" t="s">
        <v>15</v>
      </c>
      <c r="Q1" s="11" t="s">
        <v>21</v>
      </c>
    </row>
    <row r="2" spans="1:17" x14ac:dyDescent="0.3">
      <c r="A2" s="12" t="s">
        <v>16</v>
      </c>
      <c r="B2" s="13" t="s">
        <v>17</v>
      </c>
      <c r="C2" s="14">
        <v>110</v>
      </c>
      <c r="D2" s="15">
        <v>4.43</v>
      </c>
      <c r="E2" s="16">
        <v>0</v>
      </c>
      <c r="F2" s="15">
        <v>3</v>
      </c>
      <c r="G2" s="15">
        <v>5.3</v>
      </c>
      <c r="H2" s="17">
        <f t="shared" ref="H2:H5" si="0">(C2*D2)+E2</f>
        <v>487.29999999999995</v>
      </c>
      <c r="I2" s="18">
        <v>1.01</v>
      </c>
      <c r="J2" s="19">
        <f t="shared" ref="J2:J5" si="1">IFERROR(H2/C2,"       - ")</f>
        <v>4.43</v>
      </c>
      <c r="K2" s="20">
        <f t="shared" ref="K2:K5" si="2">(C2*F2-I2)-(C2*D2+E2)</f>
        <v>-158.30999999999995</v>
      </c>
      <c r="L2" s="21">
        <f t="shared" ref="L2:L5" si="3">(C2*G2-I2)-(C2*D2+E2)</f>
        <v>94.690000000000055</v>
      </c>
      <c r="M2" s="22">
        <f t="shared" ref="M2:M5" si="4">IFERROR(L2/H2,"    -")</f>
        <v>0.19431561666324659</v>
      </c>
      <c r="N2" s="23">
        <f t="shared" ref="N2:N5" si="5">IFERROR((C2*F2-H2)/H2,"   -")</f>
        <v>-0.32279909706546267</v>
      </c>
      <c r="O2" s="23">
        <f t="shared" ref="O2:O5" si="6">IFERROR((C2*G2-C2*D2)/(C2*D2),"    -")</f>
        <v>0.19638826185101591</v>
      </c>
      <c r="P2" s="12"/>
      <c r="Q2" s="23">
        <f>VLOOKUP(B2,[1]Div_Cal!$K$9:$T$99,10,FALSE)</f>
        <v>0.13544018058690746</v>
      </c>
    </row>
    <row r="3" spans="1:17" x14ac:dyDescent="0.3">
      <c r="A3" s="12" t="s">
        <v>18</v>
      </c>
      <c r="B3" s="13" t="s">
        <v>19</v>
      </c>
      <c r="C3" s="14">
        <v>20</v>
      </c>
      <c r="D3" s="15">
        <v>101.85</v>
      </c>
      <c r="E3" s="16">
        <v>0</v>
      </c>
      <c r="F3" s="15">
        <v>100</v>
      </c>
      <c r="G3" s="15">
        <v>120</v>
      </c>
      <c r="H3" s="17">
        <f t="shared" si="0"/>
        <v>2037</v>
      </c>
      <c r="I3" s="18">
        <v>1.01</v>
      </c>
      <c r="J3" s="19">
        <f t="shared" si="1"/>
        <v>101.85</v>
      </c>
      <c r="K3" s="20">
        <f t="shared" si="2"/>
        <v>-38.009999999999991</v>
      </c>
      <c r="L3" s="21">
        <f t="shared" si="3"/>
        <v>361.98999999999978</v>
      </c>
      <c r="M3" s="22">
        <f t="shared" si="4"/>
        <v>0.17770741286205194</v>
      </c>
      <c r="N3" s="23">
        <f t="shared" si="5"/>
        <v>-1.8163966617574866E-2</v>
      </c>
      <c r="O3" s="23">
        <f t="shared" si="6"/>
        <v>0.17820324005891017</v>
      </c>
      <c r="P3" s="12"/>
      <c r="Q3" s="23">
        <f>VLOOKUP(B3,[1]Div_Cal!$K$9:$T$99,10,FALSE)</f>
        <v>7.8546882670594009E-3</v>
      </c>
    </row>
    <row r="4" spans="1:17" x14ac:dyDescent="0.3">
      <c r="A4" s="12" t="s">
        <v>18</v>
      </c>
      <c r="B4" s="13" t="s">
        <v>20</v>
      </c>
      <c r="C4" s="14">
        <v>200</v>
      </c>
      <c r="D4" s="15">
        <v>20.21</v>
      </c>
      <c r="E4" s="16">
        <v>0</v>
      </c>
      <c r="F4" s="15">
        <v>41</v>
      </c>
      <c r="G4" s="15">
        <v>55</v>
      </c>
      <c r="H4" s="17">
        <f t="shared" si="0"/>
        <v>4042</v>
      </c>
      <c r="I4" s="18">
        <v>1.01</v>
      </c>
      <c r="J4" s="19">
        <f t="shared" si="1"/>
        <v>20.21</v>
      </c>
      <c r="K4" s="20">
        <f t="shared" si="2"/>
        <v>4156.99</v>
      </c>
      <c r="L4" s="21">
        <f t="shared" si="3"/>
        <v>6956.99</v>
      </c>
      <c r="M4" s="22">
        <f t="shared" si="4"/>
        <v>1.7211751608114794</v>
      </c>
      <c r="N4" s="23">
        <f t="shared" si="5"/>
        <v>1.0286986640277092</v>
      </c>
      <c r="O4" s="23">
        <f t="shared" si="6"/>
        <v>1.7214250371103414</v>
      </c>
      <c r="P4" s="12"/>
      <c r="Q4" s="23">
        <f>VLOOKUP(B4,[1]Div_Cal!$K$9:$T$99,10,FALSE)</f>
        <v>8.9064819396338452E-2</v>
      </c>
    </row>
    <row r="5" spans="1:17" x14ac:dyDescent="0.3">
      <c r="A5" s="12" t="s">
        <v>16</v>
      </c>
      <c r="B5" s="13"/>
      <c r="C5" s="14">
        <v>0</v>
      </c>
      <c r="D5" s="15">
        <v>43.78</v>
      </c>
      <c r="E5" s="16">
        <v>0</v>
      </c>
      <c r="F5" s="15">
        <v>45.4</v>
      </c>
      <c r="G5" s="15">
        <v>53.66</v>
      </c>
      <c r="H5" s="17">
        <f t="shared" si="0"/>
        <v>0</v>
      </c>
      <c r="I5" s="18">
        <v>1.01</v>
      </c>
      <c r="J5" s="19" t="str">
        <f t="shared" si="1"/>
        <v xml:space="preserve">       - </v>
      </c>
      <c r="K5" s="20">
        <f t="shared" si="2"/>
        <v>-1.01</v>
      </c>
      <c r="L5" s="21">
        <f t="shared" si="3"/>
        <v>-1.01</v>
      </c>
      <c r="M5" s="22" t="str">
        <f t="shared" si="4"/>
        <v xml:space="preserve">    -</v>
      </c>
      <c r="N5" s="23" t="str">
        <f t="shared" si="5"/>
        <v xml:space="preserve">   -</v>
      </c>
      <c r="O5" s="23" t="str">
        <f t="shared" si="6"/>
        <v xml:space="preserve">    -</v>
      </c>
      <c r="P5" s="12"/>
      <c r="Q5" s="23" t="e">
        <f>VLOOKUP(B5,[1]Div_Cal!$K$9:$T$99,10,FALSE)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Castillo</dc:creator>
  <cp:lastModifiedBy>Ramon Castillo</cp:lastModifiedBy>
  <dcterms:created xsi:type="dcterms:W3CDTF">2026-10-07T13:35:45Z</dcterms:created>
  <dcterms:modified xsi:type="dcterms:W3CDTF">2026-10-07T13:38:08Z</dcterms:modified>
</cp:coreProperties>
</file>