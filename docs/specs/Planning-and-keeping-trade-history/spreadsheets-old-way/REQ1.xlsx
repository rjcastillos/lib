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astillo\Downloads\"/>
    </mc:Choice>
  </mc:AlternateContent>
  <xr:revisionPtr revIDLastSave="0" documentId="8_{B4303C08-EC0B-46D4-A694-CDDF9B5A03C5}" xr6:coauthVersionLast="47" xr6:coauthVersionMax="47" xr10:uidLastSave="{00000000-0000-0000-0000-000000000000}"/>
  <bookViews>
    <workbookView xWindow="-120" yWindow="-16320" windowWidth="29040" windowHeight="15720" xr2:uid="{E6FE404C-3366-4929-8C08-6966B9476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2" i="1" l="1"/>
  <c r="L10" i="1"/>
  <c r="E7" i="1"/>
  <c r="H3" i="1" s="1"/>
  <c r="E6" i="1"/>
  <c r="E5" i="1"/>
  <c r="I2" i="1"/>
  <c r="I1" i="1" l="1"/>
  <c r="M12" i="1" s="1"/>
  <c r="M10" i="1" l="1"/>
</calcChain>
</file>

<file path=xl/sharedStrings.xml><?xml version="1.0" encoding="utf-8"?>
<sst xmlns="http://schemas.openxmlformats.org/spreadsheetml/2006/main" count="15" uniqueCount="14">
  <si>
    <t>Loss tolerance</t>
  </si>
  <si>
    <t>ATRP Date purchase</t>
  </si>
  <si>
    <t>ATR Date purchase</t>
  </si>
  <si>
    <t>Q. Shares</t>
  </si>
  <si>
    <t>Entry Price</t>
  </si>
  <si>
    <t>Ideal Target price</t>
  </si>
  <si>
    <t>Stop Loss</t>
  </si>
  <si>
    <t>Loss per Share</t>
  </si>
  <si>
    <t>Realistic Target</t>
  </si>
  <si>
    <t>PT%</t>
  </si>
  <si>
    <t>Predicted Stop</t>
  </si>
  <si>
    <t xml:space="preserve"> </t>
  </si>
  <si>
    <t>Loss%</t>
  </si>
  <si>
    <t>Funding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</si>
</sst>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0.000"/>
    <numFmt numFmtId="166" formatCode="0.000%"/>
    <numFmt numFmtId="167" formatCode="[$$-409]#,##0.00_ ;[Red]\-[$$-409]#,##0.00\ 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9" fontId="0" fillId="2" borderId="2" xfId="0" applyNumberFormat="1" applyFill="1" applyBorder="1"/>
    <xf numFmtId="164" fontId="1" fillId="0" borderId="3" xfId="0" applyNumberFormat="1" applyFont="1" applyBorder="1"/>
    <xf numFmtId="0" fontId="0" fillId="0" borderId="0" xfId="0" applyAlignment="1">
      <alignment wrapText="1"/>
    </xf>
    <xf numFmtId="0" fontId="0" fillId="0" borderId="2" xfId="0" applyBorder="1" applyAlignment="1">
      <alignment horizontal="center" wrapText="1"/>
    </xf>
    <xf numFmtId="164" fontId="0" fillId="0" borderId="0" xfId="0" applyNumberFormat="1"/>
    <xf numFmtId="0" fontId="1" fillId="0" borderId="4" xfId="0" applyFont="1" applyBorder="1"/>
    <xf numFmtId="165" fontId="1" fillId="0" borderId="5" xfId="0" applyNumberFormat="1" applyFont="1" applyBorder="1"/>
    <xf numFmtId="0" fontId="0" fillId="0" borderId="6" xfId="0" applyBorder="1"/>
    <xf numFmtId="9" fontId="0" fillId="0" borderId="0" xfId="0" applyNumberFormat="1"/>
    <xf numFmtId="0" fontId="0" fillId="0" borderId="2" xfId="0" applyBorder="1"/>
    <xf numFmtId="0" fontId="1" fillId="0" borderId="7" xfId="0" applyFont="1" applyBorder="1"/>
    <xf numFmtId="164" fontId="0" fillId="2" borderId="8" xfId="0" applyNumberFormat="1" applyFill="1" applyBorder="1"/>
    <xf numFmtId="0" fontId="1" fillId="0" borderId="9" xfId="0" applyFont="1" applyBorder="1" applyAlignment="1">
      <alignment horizontal="left" wrapText="1"/>
    </xf>
    <xf numFmtId="164" fontId="1" fillId="0" borderId="9" xfId="0" applyNumberFormat="1" applyFont="1" applyBorder="1"/>
    <xf numFmtId="0" fontId="1" fillId="0" borderId="2" xfId="0" applyFont="1" applyBorder="1"/>
    <xf numFmtId="164" fontId="1" fillId="0" borderId="2" xfId="0" applyNumberFormat="1" applyFont="1" applyBorder="1"/>
    <xf numFmtId="0" fontId="1" fillId="0" borderId="10" xfId="0" applyFont="1" applyBorder="1"/>
    <xf numFmtId="166" fontId="1" fillId="0" borderId="8" xfId="0" applyNumberFormat="1" applyFont="1" applyBorder="1"/>
    <xf numFmtId="164" fontId="1" fillId="0" borderId="0" xfId="0" applyNumberFormat="1" applyFont="1"/>
    <xf numFmtId="0" fontId="1" fillId="0" borderId="0" xfId="0" applyFont="1"/>
    <xf numFmtId="167" fontId="0" fillId="0" borderId="0" xfId="0" applyNumberFormat="1"/>
    <xf numFmtId="0" fontId="1" fillId="0" borderId="11" xfId="0" applyFont="1" applyBorder="1"/>
    <xf numFmtId="164" fontId="0" fillId="2" borderId="12" xfId="0" applyNumberFormat="1" applyFill="1" applyBorder="1" applyProtection="1">
      <protection locked="0"/>
    </xf>
    <xf numFmtId="164" fontId="1" fillId="0" borderId="13" xfId="0" applyNumberFormat="1" applyFont="1" applyBorder="1"/>
    <xf numFmtId="9" fontId="0" fillId="2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D650-5DB4-495D-97B2-DEAECD27344A}">
  <dimension ref="B1:M12"/>
  <sheetViews>
    <sheetView tabSelected="1" workbookViewId="0">
      <selection activeCell="J5" sqref="J5"/>
    </sheetView>
  </sheetViews>
  <sheetFormatPr defaultRowHeight="14.4" x14ac:dyDescent="0.3"/>
  <cols>
    <col min="4" max="4" width="15.109375" bestFit="1" customWidth="1"/>
    <col min="7" max="7" width="14.44140625" bestFit="1" customWidth="1"/>
    <col min="9" max="9" width="9.88671875" bestFit="1" customWidth="1"/>
  </cols>
  <sheetData>
    <row r="1" spans="2:13" ht="16.2" thickBot="1" x14ac:dyDescent="0.35">
      <c r="G1" s="23" t="s">
        <v>13</v>
      </c>
      <c r="H1" s="24">
        <v>2500</v>
      </c>
      <c r="I1" s="25">
        <f>H3*E4</f>
        <v>2499.9999999999841</v>
      </c>
      <c r="K1" s="18" t="s">
        <v>9</v>
      </c>
      <c r="L1" s="26">
        <v>0.02</v>
      </c>
    </row>
    <row r="2" spans="2:13" ht="15.6" x14ac:dyDescent="0.3">
      <c r="G2" s="1" t="s">
        <v>0</v>
      </c>
      <c r="H2" s="2">
        <v>0.01</v>
      </c>
      <c r="I2" s="3">
        <f>H1*H2</f>
        <v>25</v>
      </c>
    </row>
    <row r="3" spans="2:13" ht="43.8" thickBot="1" x14ac:dyDescent="0.35">
      <c r="B3" s="4" t="s">
        <v>1</v>
      </c>
      <c r="C3" s="5" t="s">
        <v>2</v>
      </c>
      <c r="E3" s="6"/>
      <c r="G3" s="7" t="s">
        <v>3</v>
      </c>
      <c r="H3" s="8">
        <f>I2/E7</f>
        <v>4.3782837127845609</v>
      </c>
      <c r="I3" s="9"/>
    </row>
    <row r="4" spans="2:13" ht="16.2" thickBot="1" x14ac:dyDescent="0.35">
      <c r="B4" s="10">
        <v>0.03</v>
      </c>
      <c r="C4" s="11">
        <v>0.72</v>
      </c>
      <c r="D4" s="12" t="s">
        <v>4</v>
      </c>
      <c r="E4" s="13">
        <v>571</v>
      </c>
    </row>
    <row r="5" spans="2:13" ht="46.8" x14ac:dyDescent="0.3">
      <c r="D5" s="14" t="s">
        <v>5</v>
      </c>
      <c r="E5" s="15">
        <f>E4*(1+L1)</f>
        <v>582.41999999999996</v>
      </c>
    </row>
    <row r="6" spans="2:13" ht="15.6" x14ac:dyDescent="0.3">
      <c r="D6" s="16" t="s">
        <v>6</v>
      </c>
      <c r="E6" s="17">
        <f>E4*(1-H2)</f>
        <v>565.29</v>
      </c>
    </row>
    <row r="7" spans="2:13" ht="15.6" x14ac:dyDescent="0.3">
      <c r="D7" s="16" t="s">
        <v>7</v>
      </c>
      <c r="E7" s="17">
        <f>E4-E6</f>
        <v>5.7100000000000364</v>
      </c>
    </row>
    <row r="9" spans="2:13" ht="15" thickBot="1" x14ac:dyDescent="0.35"/>
    <row r="10" spans="2:13" ht="16.2" thickBot="1" x14ac:dyDescent="0.35">
      <c r="D10" s="18" t="s">
        <v>8</v>
      </c>
      <c r="E10" s="13">
        <v>582</v>
      </c>
      <c r="K10" s="18" t="s">
        <v>9</v>
      </c>
      <c r="L10" s="19">
        <f>(E10-E4)/E4</f>
        <v>1.9264448336252189E-2</v>
      </c>
      <c r="M10" s="20">
        <f>(E10*H3)-(I1+1)</f>
        <v>47.161120840630247</v>
      </c>
    </row>
    <row r="11" spans="2:13" ht="16.2" thickBot="1" x14ac:dyDescent="0.35">
      <c r="D11" s="21"/>
    </row>
    <row r="12" spans="2:13" ht="16.2" thickBot="1" x14ac:dyDescent="0.35">
      <c r="D12" s="18" t="s">
        <v>10</v>
      </c>
      <c r="E12" s="13">
        <v>566</v>
      </c>
      <c r="H12" t="s">
        <v>11</v>
      </c>
      <c r="K12" s="18" t="s">
        <v>12</v>
      </c>
      <c r="L12" s="19">
        <f>(E12-E4)/E4</f>
        <v>-8.7565674255691769E-3</v>
      </c>
      <c r="M12" s="22">
        <f>(E12*H3)-(I1+1)</f>
        <v>-22.891418563922798</v>
      </c>
    </row>
  </sheetData>
  <conditionalFormatting sqref="L12">
    <cfRule type="colorScale" priority="1">
      <colorScale>
        <cfvo type="num" val="&quot;&lt;0&quot;"/>
        <cfvo type="num" val="0"/>
        <color rgb="FFFF0000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Castillo</dc:creator>
  <cp:lastModifiedBy>Ramon Castillo</cp:lastModifiedBy>
  <dcterms:created xsi:type="dcterms:W3CDTF">2026-10-07T13:40:11Z</dcterms:created>
  <dcterms:modified xsi:type="dcterms:W3CDTF">2026-10-07T13:41:54Z</dcterms:modified>
</cp:coreProperties>
</file>